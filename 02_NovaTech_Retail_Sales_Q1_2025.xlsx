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 Master Program\"/>
    </mc:Choice>
  </mc:AlternateContent>
  <xr:revisionPtr revIDLastSave="0" documentId="13_ncr:1_{1B7EBE54-E70B-45F9-8EA8-E8204AADD24D}" xr6:coauthVersionLast="47" xr6:coauthVersionMax="47" xr10:uidLastSave="{00000000-0000-0000-0000-000000000000}"/>
  <bookViews>
    <workbookView xWindow="-108" yWindow="-108" windowWidth="23256" windowHeight="12576" activeTab="3" xr2:uid="{C99988D3-EBC3-4201-8183-C301D99FB3E5}"/>
  </bookViews>
  <sheets>
    <sheet name="Q1_Pivot_Analysis" sheetId="4" r:id="rId1"/>
    <sheet name="Q1_Sales_Data" sheetId="1" r:id="rId2"/>
    <sheet name="Product_Lookup" sheetId="2" r:id="rId3"/>
    <sheet name="Dashboard" sheetId="5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5" l="1"/>
  <c r="D29" i="5"/>
  <c r="D28" i="5"/>
  <c r="C30" i="5"/>
  <c r="C29" i="5"/>
  <c r="C28" i="5"/>
  <c r="H5" i="5"/>
  <c r="F5" i="5"/>
  <c r="D5" i="5"/>
  <c r="B5" i="5"/>
  <c r="J7" i="1"/>
  <c r="J6" i="1"/>
  <c r="J5" i="1"/>
  <c r="J4" i="1"/>
  <c r="J3" i="1"/>
  <c r="J2" i="1"/>
  <c r="J1" i="1"/>
  <c r="G2" i="1"/>
  <c r="G17" i="1"/>
  <c r="F3" i="1"/>
  <c r="F4" i="1"/>
  <c r="F5" i="1"/>
  <c r="F6" i="1"/>
  <c r="G6" i="1" s="1"/>
  <c r="F7" i="1"/>
  <c r="F8" i="1"/>
  <c r="F9" i="1"/>
  <c r="F10" i="1"/>
  <c r="G10" i="1" s="1"/>
  <c r="F11" i="1"/>
  <c r="F12" i="1"/>
  <c r="F13" i="1"/>
  <c r="F14" i="1"/>
  <c r="G14" i="1" s="1"/>
  <c r="F15" i="1"/>
  <c r="F16" i="1"/>
  <c r="F17" i="1"/>
  <c r="F18" i="1"/>
  <c r="G18" i="1" s="1"/>
  <c r="F19" i="1"/>
  <c r="F20" i="1"/>
  <c r="F21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  <c r="D4" i="1"/>
  <c r="F2" i="1"/>
  <c r="D2" i="1"/>
  <c r="C2" i="1"/>
  <c r="G7" i="1"/>
  <c r="G8" i="1"/>
  <c r="G9" i="1"/>
  <c r="G11" i="1"/>
  <c r="G12" i="1"/>
  <c r="G13" i="1"/>
  <c r="G15" i="1"/>
  <c r="G16" i="1"/>
  <c r="G19" i="1"/>
  <c r="G20" i="1"/>
  <c r="G21" i="1"/>
  <c r="G5" i="1"/>
  <c r="G4" i="1"/>
  <c r="G3" i="1"/>
</calcChain>
</file>

<file path=xl/sharedStrings.xml><?xml version="1.0" encoding="utf-8"?>
<sst xmlns="http://schemas.openxmlformats.org/spreadsheetml/2006/main" count="135" uniqueCount="70">
  <si>
    <t>Date</t>
  </si>
  <si>
    <t>ProductID</t>
  </si>
  <si>
    <t>Product Name</t>
  </si>
  <si>
    <t>Category</t>
  </si>
  <si>
    <t>Quantity</t>
  </si>
  <si>
    <t>Unit Price</t>
  </si>
  <si>
    <t>Total Sales</t>
  </si>
  <si>
    <t>EL-001</t>
  </si>
  <si>
    <t>Samsung Galaxy A35</t>
  </si>
  <si>
    <t>CL-001</t>
  </si>
  <si>
    <t>Batik Sarong (Men)</t>
  </si>
  <si>
    <t>Clothing</t>
  </si>
  <si>
    <t>EL-002</t>
  </si>
  <si>
    <t>Hisense 43" Smart TV</t>
  </si>
  <si>
    <t>Electronics</t>
  </si>
  <si>
    <t>GR-001</t>
  </si>
  <si>
    <t>Basmati Rice 5kg</t>
  </si>
  <si>
    <t>Groceries</t>
  </si>
  <si>
    <t>CL-002</t>
  </si>
  <si>
    <t>Ladies Kandyan Saree</t>
  </si>
  <si>
    <t>GR-002</t>
  </si>
  <si>
    <t>Ceylon Tea 400g</t>
  </si>
  <si>
    <t>EL-003</t>
  </si>
  <si>
    <t>JBL Bluetooth Speaker</t>
  </si>
  <si>
    <t>CL-003</t>
  </si>
  <si>
    <t>School Uniform Set</t>
  </si>
  <si>
    <t>GR-003</t>
  </si>
  <si>
    <t>Coconut Oil 1L</t>
  </si>
  <si>
    <t>EL-004</t>
  </si>
  <si>
    <t>Xiaomi Redmi Note 13</t>
  </si>
  <si>
    <t>GR-004</t>
  </si>
  <si>
    <t>Maldive Fish 250g</t>
  </si>
  <si>
    <t>CL-004</t>
  </si>
  <si>
    <t>Cotton Kurta (Ladies)</t>
  </si>
  <si>
    <t>EL-005</t>
  </si>
  <si>
    <t>Panasonic Microwave Oven</t>
  </si>
  <si>
    <t>GR-005</t>
  </si>
  <si>
    <t>Dhal 1Kg</t>
  </si>
  <si>
    <t>CL-005</t>
  </si>
  <si>
    <t>Jeans-Slim Fit</t>
  </si>
  <si>
    <t>EL-006</t>
  </si>
  <si>
    <t>HP Laptop 15s</t>
  </si>
  <si>
    <t>GR-006</t>
  </si>
  <si>
    <t>Anchor Full Cream Milk 1L</t>
  </si>
  <si>
    <t>CL-006</t>
  </si>
  <si>
    <t>Polo T-Shirt (Men)</t>
  </si>
  <si>
    <t>EL-007</t>
  </si>
  <si>
    <t>Sony Noise-Cancel Headphones</t>
  </si>
  <si>
    <t>GR-007</t>
  </si>
  <si>
    <t>Sprats (Dried) 500g</t>
  </si>
  <si>
    <t>Product ID</t>
  </si>
  <si>
    <t>Sony Noise - Cancel Headphones</t>
  </si>
  <si>
    <t xml:space="preserve">Batik Sarong (Men) </t>
  </si>
  <si>
    <t>Jeans - Slim Fit</t>
  </si>
  <si>
    <t>Basmati Rice 5Kg</t>
  </si>
  <si>
    <t>Electronic Sales</t>
  </si>
  <si>
    <t>Clothing Sales</t>
  </si>
  <si>
    <t>Groceries Sales</t>
  </si>
  <si>
    <t>Average Sales</t>
  </si>
  <si>
    <t>Highest Sales</t>
  </si>
  <si>
    <t>Lowest Sales</t>
  </si>
  <si>
    <t>Row Labels</t>
  </si>
  <si>
    <t>Grand Total</t>
  </si>
  <si>
    <t>Sum of Total Sales</t>
  </si>
  <si>
    <t>Sum of Quantity</t>
  </si>
  <si>
    <t>NovaTech Retail - Q1 2025 Sales Dashboard</t>
  </si>
  <si>
    <t>Top Category</t>
  </si>
  <si>
    <t>Highest Sale</t>
  </si>
  <si>
    <t>Lowest Sale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</si>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</sst>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71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5" fontId="0" fillId="0" borderId="0" xfId="0" applyNumberFormat="1" applyAlignment="1">
      <alignment horizontal="left"/>
    </xf>
    <xf numFmtId="3" fontId="0" fillId="0" borderId="0" xfId="0" applyNumberFormat="1"/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3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71" fontId="0" fillId="3" borderId="1" xfId="0" applyNumberFormat="1" applyFill="1" applyBorder="1"/>
    <xf numFmtId="3" fontId="0" fillId="3" borderId="2" xfId="0" applyNumberFormat="1" applyFill="1" applyBorder="1"/>
    <xf numFmtId="3" fontId="0" fillId="4" borderId="0" xfId="0" applyNumberFormat="1" applyFill="1" applyBorder="1"/>
    <xf numFmtId="0" fontId="0" fillId="4" borderId="0" xfId="0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[02_NovaTech_Retail_Sales_Q1_2025.xlsx]Q1_Pivot_Analysis!PivotTable2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NovaTech Retail - Q1 2025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Q1_Pivot_Analysis!$B$3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6C-4C7B-BF2B-B4C7A7D2394E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C-4C7B-BF2B-B4C7A7D2394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C-4C7B-BF2B-B4C7A7D2394E}"/>
              </c:ext>
            </c:extLst>
          </c:dPt>
          <c:cat>
            <c:strRef>
              <c:f>Q1_Pivot_Analysis!$A$4:$A$7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</c:strCache>
            </c:strRef>
          </c:cat>
          <c:val>
            <c:numRef>
              <c:f>Q1_Pivot_Analysis!$B$4:$B$7</c:f>
              <c:numCache>
                <c:formatCode>General</c:formatCode>
                <c:ptCount val="3"/>
                <c:pt idx="0">
                  <c:v>270750</c:v>
                </c:pt>
                <c:pt idx="1">
                  <c:v>1651500</c:v>
                </c:pt>
                <c:pt idx="2">
                  <c:v>144725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C-4C7B-BF2B-B4C7A7D2394E}"/>
            </c:ext>
          </c:extLst>
        </c:ser>
        <c:ser>
          <c:idx val="1"/>
          <c:order val="1"/>
          <c:tx>
            <c:strRef>
              <c:f>Q1_Pivot_Analysis!$C$3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Q1_Pivot_Analysis!$A$4:$A$7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</c:strCache>
            </c:strRef>
          </c:cat>
          <c:val>
            <c:numRef>
              <c:f>Q1_Pivot_Analysis!$C$4:$C$7</c:f>
              <c:numCache>
                <c:formatCode>General</c:formatCode>
                <c:ptCount val="3"/>
                <c:pt idx="0">
                  <c:v>95</c:v>
                </c:pt>
                <c:pt idx="1">
                  <c:v>37</c:v>
                </c:pt>
                <c:pt idx="2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6C-4C7B-BF2B-B4C7A7D23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484191"/>
        <c:axId val="1211484607"/>
      </c:barChart>
      <c:catAx>
        <c:axId val="12114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4607"/>
        <c:crosses val="autoZero"/>
        <c:auto val="1"/>
        <c:lblAlgn val="ctr"/>
        <c:lblOffset val="100"/>
        <c:noMultiLvlLbl val="0"/>
      </c:catAx>
      <c:valAx>
        <c:axId val="12114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[02_NovaTech_Retail_Sales_Q1_2025.xlsx]Q1_Pivot_Analysis!PivotTable2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2025 Sales by Category (LKR)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rgbClr val="0070C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rgbClr val="0070C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Q1_Pivot_Analysis!$B$3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E8-49F4-8984-E8A174957D6D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E8-49F4-8984-E8A174957D6D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E8-49F4-8984-E8A174957D6D}"/>
              </c:ext>
            </c:extLst>
          </c:dPt>
          <c:cat>
            <c:strRef>
              <c:f>Q1_Pivot_Analysis!$A$4:$A$7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</c:strCache>
            </c:strRef>
          </c:cat>
          <c:val>
            <c:numRef>
              <c:f>Q1_Pivot_Analysis!$B$4:$B$7</c:f>
              <c:numCache>
                <c:formatCode>General</c:formatCode>
                <c:ptCount val="3"/>
                <c:pt idx="0">
                  <c:v>270750</c:v>
                </c:pt>
                <c:pt idx="1">
                  <c:v>1651500</c:v>
                </c:pt>
                <c:pt idx="2">
                  <c:v>144725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E8-49F4-8984-E8A174957D6D}"/>
            </c:ext>
          </c:extLst>
        </c:ser>
        <c:ser>
          <c:idx val="1"/>
          <c:order val="1"/>
          <c:tx>
            <c:strRef>
              <c:f>Q1_Pivot_Analysis!$C$3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Q1_Pivot_Analysis!$A$4:$A$7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</c:strCache>
            </c:strRef>
          </c:cat>
          <c:val>
            <c:numRef>
              <c:f>Q1_Pivot_Analysis!$C$4:$C$7</c:f>
              <c:numCache>
                <c:formatCode>General</c:formatCode>
                <c:ptCount val="3"/>
                <c:pt idx="0">
                  <c:v>95</c:v>
                </c:pt>
                <c:pt idx="1">
                  <c:v>37</c:v>
                </c:pt>
                <c:pt idx="2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E8-49F4-8984-E8A174957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484191"/>
        <c:axId val="1211484607"/>
      </c:barChart>
      <c:catAx>
        <c:axId val="12114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4607"/>
        <c:crosses val="autoZero"/>
        <c:auto val="1"/>
        <c:lblAlgn val="ctr"/>
        <c:lblOffset val="100"/>
        <c:noMultiLvlLbl val="0"/>
      </c:catAx>
      <c:valAx>
        <c:axId val="12114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179070</xdr:rowOff>
    </xdr:from>
    <xdr:to>
      <xdr:col>11</xdr:col>
      <xdr:colOff>304800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A31E6-F0D3-4108-A275-0222BDC4E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612741</xdr:colOff>
      <xdr:row>6</xdr:row>
      <xdr:rowOff>7855</xdr:rowOff>
    </xdr:from>
    <xdr:to>
      <xdr:col>7</xdr:col>
      <xdr:colOff>760428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97CEA-5BE6-4890-BD75-118A5E01D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87.474900000001" createdVersion="7" refreshedVersion="7" minRefreshableVersion="3" recordCount="20" xr:uid="{CED696D9-9C5B-4836-A862-4B3C4DC6FCF1}">
  <cacheSource type="worksheet">
    <worksheetSource ref="A1:G21" sheet="Q1_Sales_Data"/>
  </cacheSource>
  <cacheFields count="7">
    <cacheField name="Date" numFmtId="165">
      <sharedItems containsSemiMixedTypes="0" containsNonDate="0" containsDate="1" containsString="0" minDate="2025-01-03T00:00:00" maxDate="2025-03-29T00:00:00"/>
    </cacheField>
    <cacheField name="ProductID" numFmtId="0">
      <sharedItems/>
    </cacheField>
    <cacheField name="Product Name" numFmtId="0">
      <sharedItems/>
    </cacheField>
    <cacheField name="Category" numFmtId="0">
      <sharedItems count="3">
        <s v="Electronics"/>
        <s v="Clothing"/>
        <s v="Groceries"/>
      </sharedItems>
    </cacheField>
    <cacheField name="Quantity" numFmtId="0">
      <sharedItems containsSemiMixedTypes="0" containsString="0" containsNumber="1" containsInteger="1" minValue="2" maxValue="60"/>
    </cacheField>
    <cacheField name="Unit Price" numFmtId="3">
      <sharedItems containsSemiMixedTypes="0" containsString="0" containsNumber="1" containsInteger="1" minValue="295" maxValue="89900"/>
    </cacheField>
    <cacheField name="Total Sales" numFmtId="3">
      <sharedItems containsSemiMixedTypes="0" containsString="0" containsNumber="1" containsInteger="1" minValue="9750" maxValue="44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5-01-03T00:00:00"/>
    <s v="EL-001"/>
    <s v="Samsung Galaxy A35"/>
    <x v="0"/>
    <n v="5"/>
    <n v="89900"/>
    <n v="449500"/>
  </r>
  <r>
    <d v="2025-01-07T00:00:00"/>
    <s v="CL-001"/>
    <s v="Batik Sarong (Men)"/>
    <x v="1"/>
    <n v="20"/>
    <n v="1850"/>
    <n v="37000"/>
  </r>
  <r>
    <d v="2025-01-10T00:00:00"/>
    <s v="GR-001"/>
    <s v="Basmati Rice 5kg"/>
    <x v="2"/>
    <n v="30"/>
    <n v="995"/>
    <n v="29850"/>
  </r>
  <r>
    <d v="2025-01-14T00:00:00"/>
    <s v="EL-002"/>
    <s v="Hisense 43&quot; Smart TV"/>
    <x v="0"/>
    <n v="3"/>
    <n v="74500"/>
    <n v="223500"/>
  </r>
  <r>
    <d v="2025-01-18T00:00:00"/>
    <s v="CL-002"/>
    <s v="Ladies Kandyan Saree"/>
    <x v="1"/>
    <n v="8"/>
    <n v="5500"/>
    <n v="44000"/>
  </r>
  <r>
    <d v="2025-01-22T00:00:00"/>
    <s v="GR-002"/>
    <s v="Ceylon Tea 400g"/>
    <x v="2"/>
    <n v="50"/>
    <n v="620"/>
    <n v="31000"/>
  </r>
  <r>
    <d v="2025-01-28T00:00:00"/>
    <s v="EL-003"/>
    <s v="JBL Bluetooth Speaker"/>
    <x v="0"/>
    <n v="10"/>
    <n v="12800"/>
    <n v="128000"/>
  </r>
  <r>
    <d v="2025-02-03T00:00:00"/>
    <s v="CL-003"/>
    <s v="School Uniform Set"/>
    <x v="1"/>
    <n v="15"/>
    <n v="2750"/>
    <n v="41250"/>
  </r>
  <r>
    <d v="2025-02-07T00:00:00"/>
    <s v="GR-003"/>
    <s v="Coconut Oil 1L"/>
    <x v="2"/>
    <n v="40"/>
    <n v="580"/>
    <n v="23200"/>
  </r>
  <r>
    <d v="2025-02-11T00:00:00"/>
    <s v="EL-004"/>
    <s v="Xiaomi Redmi Note 13"/>
    <x v="0"/>
    <n v="7"/>
    <n v="55900"/>
    <n v="391300"/>
  </r>
  <r>
    <d v="2025-02-14T00:00:00"/>
    <s v="GR-004"/>
    <s v="Maldive Fish 250g"/>
    <x v="2"/>
    <n v="25"/>
    <n v="390"/>
    <n v="9750"/>
  </r>
  <r>
    <d v="2025-02-18T00:00:00"/>
    <s v="CL-004"/>
    <s v="Cotton Kurta (Ladies)"/>
    <x v="1"/>
    <n v="12"/>
    <n v="3200"/>
    <n v="38400"/>
  </r>
  <r>
    <d v="2025-02-22T00:00:00"/>
    <s v="EL-005"/>
    <s v="Panasonic Microwave Oven"/>
    <x v="0"/>
    <n v="4"/>
    <n v="32500"/>
    <n v="130000"/>
  </r>
  <r>
    <d v="2025-02-26T00:00:00"/>
    <s v="GR-005"/>
    <s v="Dhal 1Kg"/>
    <x v="2"/>
    <n v="60"/>
    <n v="295"/>
    <n v="17700"/>
  </r>
  <r>
    <d v="2025-03-04T00:00:00"/>
    <s v="CL-005"/>
    <s v="Jeans-Slim Fit"/>
    <x v="1"/>
    <n v="18"/>
    <n v="4100"/>
    <n v="73800"/>
  </r>
  <r>
    <d v="2025-03-08T00:00:00"/>
    <s v="EL-006"/>
    <s v="HP Laptop 15s"/>
    <x v="0"/>
    <n v="2"/>
    <n v="89900"/>
    <n v="179800"/>
  </r>
  <r>
    <d v="2025-03-12T00:00:00"/>
    <s v="GR-006"/>
    <s v="Anchor Full Cream Milk 1L"/>
    <x v="2"/>
    <n v="45"/>
    <n v="365"/>
    <n v="16425"/>
  </r>
  <r>
    <d v="2025-03-17T00:00:00"/>
    <s v="CL-006"/>
    <s v="Polo T-Shirt (Men)"/>
    <x v="1"/>
    <n v="22"/>
    <n v="1650"/>
    <n v="36300"/>
  </r>
  <r>
    <d v="2025-03-21T00:00:00"/>
    <s v="EL-007"/>
    <s v="Sony Noise-Cancel Headphones"/>
    <x v="0"/>
    <n v="6"/>
    <n v="24900"/>
    <n v="149400"/>
  </r>
  <r>
    <d v="2025-03-28T00:00:00"/>
    <s v="GR-007"/>
    <s v="Sprats (Dried) 500g"/>
    <x v="2"/>
    <n v="35"/>
    <n v="480"/>
    <n v="16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F332D-0691-431C-92EF-B230F9C962F6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C7" firstHeaderRow="0" firstDataRow="1" firstDataCol="1"/>
  <pivotFields count="7">
    <pivotField numFmtId="165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3" showAll="0"/>
    <pivotField dataField="1" numFmtId="3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/>
    <dataField name="Sum of Quantity" fld="4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419B-1257-4B6B-896C-4235E3E61AF4}">
  <dimension ref="A3:C7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4.88671875" bestFit="1" customWidth="1"/>
  </cols>
  <sheetData>
    <row r="3" spans="1:3" x14ac:dyDescent="0.3">
      <c r="A3" s="7" t="s">
        <v>61</v>
      </c>
      <c r="B3" t="s">
        <v>63</v>
      </c>
      <c r="C3" t="s">
        <v>64</v>
      </c>
    </row>
    <row r="4" spans="1:3" x14ac:dyDescent="0.3">
      <c r="A4" s="8" t="s">
        <v>11</v>
      </c>
      <c r="B4" s="9">
        <v>270750</v>
      </c>
      <c r="C4" s="9">
        <v>95</v>
      </c>
    </row>
    <row r="5" spans="1:3" x14ac:dyDescent="0.3">
      <c r="A5" s="8" t="s">
        <v>14</v>
      </c>
      <c r="B5" s="9">
        <v>1651500</v>
      </c>
      <c r="C5" s="9">
        <v>37</v>
      </c>
    </row>
    <row r="6" spans="1:3" x14ac:dyDescent="0.3">
      <c r="A6" s="8" t="s">
        <v>17</v>
      </c>
      <c r="B6" s="9">
        <v>144725</v>
      </c>
      <c r="C6" s="9">
        <v>285</v>
      </c>
    </row>
    <row r="7" spans="1:3" x14ac:dyDescent="0.3">
      <c r="A7" s="8" t="s">
        <v>62</v>
      </c>
      <c r="B7" s="9">
        <v>2066975</v>
      </c>
      <c r="C7" s="9">
        <v>417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C78C-F19B-4D6A-ABAD-952969BDDFA3}">
  <dimension ref="A1:J21"/>
  <sheetViews>
    <sheetView workbookViewId="0">
      <selection activeCell="I21" sqref="I21"/>
    </sheetView>
  </sheetViews>
  <sheetFormatPr defaultRowHeight="14.4" x14ac:dyDescent="0.3"/>
  <cols>
    <col min="1" max="1" width="10.5546875" bestFit="1" customWidth="1"/>
    <col min="2" max="2" width="9.44140625" bestFit="1" customWidth="1"/>
    <col min="3" max="3" width="27.109375" bestFit="1" customWidth="1"/>
    <col min="4" max="4" width="9.88671875" bestFit="1" customWidth="1"/>
    <col min="5" max="5" width="8.33203125" bestFit="1" customWidth="1"/>
    <col min="6" max="6" width="9.109375" bestFit="1" customWidth="1"/>
    <col min="7" max="7" width="9.88671875" bestFit="1" customWidth="1"/>
    <col min="9" max="9" width="17.5546875" customWidth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5" t="s">
        <v>6</v>
      </c>
      <c r="J1" s="2">
        <f>SUM(G2:G21)</f>
        <v>2066975</v>
      </c>
    </row>
    <row r="2" spans="1:10" x14ac:dyDescent="0.3">
      <c r="A2" s="1">
        <v>45660</v>
      </c>
      <c r="B2" t="s">
        <v>7</v>
      </c>
      <c r="C2" t="str">
        <f>VLOOKUP(B2, Product_Lookup!$A$1:$D$21, 2, 0)</f>
        <v>Samsung Galaxy A35</v>
      </c>
      <c r="D2" t="str">
        <f>VLOOKUP(B2,Product_Lookup!$A$1:$D$21, 3, 0)</f>
        <v>Electronics</v>
      </c>
      <c r="E2">
        <v>5</v>
      </c>
      <c r="F2" s="2">
        <f>VLOOKUP(B2,Product_Lookup!$A$1:$D$21, 4, 0)</f>
        <v>89900</v>
      </c>
      <c r="G2" s="2">
        <f>E2*F2</f>
        <v>449500</v>
      </c>
      <c r="I2" t="s">
        <v>55</v>
      </c>
      <c r="J2" s="2">
        <f>SUMIF(D2:D21, "Electronics", G2:G21)</f>
        <v>1651500</v>
      </c>
    </row>
    <row r="3" spans="1:10" x14ac:dyDescent="0.3">
      <c r="A3" s="1">
        <v>45664</v>
      </c>
      <c r="B3" t="s">
        <v>9</v>
      </c>
      <c r="C3" t="s">
        <v>10</v>
      </c>
      <c r="D3" t="str">
        <f>VLOOKUP(B3,Product_Lookup!$A$1:$D$21, 3, 0)</f>
        <v>Clothing</v>
      </c>
      <c r="E3">
        <v>20</v>
      </c>
      <c r="F3" s="2">
        <f>VLOOKUP(B3,Product_Lookup!$A$1:$D$21, 4, 0)</f>
        <v>1850</v>
      </c>
      <c r="G3" s="2">
        <f>E3*F3</f>
        <v>37000</v>
      </c>
      <c r="I3" t="s">
        <v>56</v>
      </c>
      <c r="J3" s="2">
        <f>SUMIF(D2:D21, "Clothing", G2:G21)</f>
        <v>270750</v>
      </c>
    </row>
    <row r="4" spans="1:10" x14ac:dyDescent="0.3">
      <c r="A4" s="1">
        <v>45667</v>
      </c>
      <c r="B4" t="s">
        <v>15</v>
      </c>
      <c r="C4" t="s">
        <v>16</v>
      </c>
      <c r="D4" t="str">
        <f>VLOOKUP(B4,Product_Lookup!$A$1:$D$21, 3, 0)</f>
        <v>Groceries</v>
      </c>
      <c r="E4">
        <v>30</v>
      </c>
      <c r="F4" s="2">
        <f>VLOOKUP(B4,Product_Lookup!$A$1:$D$21, 4, 0)</f>
        <v>995</v>
      </c>
      <c r="G4" s="2">
        <f>E4*F4</f>
        <v>29850</v>
      </c>
      <c r="I4" t="s">
        <v>57</v>
      </c>
      <c r="J4" s="2">
        <f>SUMIF(D2:D21, "Groceries",G2:G21)</f>
        <v>144725</v>
      </c>
    </row>
    <row r="5" spans="1:10" x14ac:dyDescent="0.3">
      <c r="A5" s="1">
        <v>45671</v>
      </c>
      <c r="B5" t="s">
        <v>12</v>
      </c>
      <c r="C5" t="s">
        <v>13</v>
      </c>
      <c r="D5" t="str">
        <f>VLOOKUP(B5,Product_Lookup!$A$1:$D$21, 3, 0)</f>
        <v>Electronics</v>
      </c>
      <c r="E5">
        <v>3</v>
      </c>
      <c r="F5" s="2">
        <f>VLOOKUP(B5,Product_Lookup!$A$1:$D$21, 4, 0)</f>
        <v>74500</v>
      </c>
      <c r="G5" s="2">
        <f>E5*F5</f>
        <v>223500</v>
      </c>
      <c r="I5" t="s">
        <v>58</v>
      </c>
      <c r="J5" s="2">
        <f>AVERAGE(G2:G21)</f>
        <v>103348.75</v>
      </c>
    </row>
    <row r="6" spans="1:10" x14ac:dyDescent="0.3">
      <c r="A6" s="1">
        <v>45675</v>
      </c>
      <c r="B6" t="s">
        <v>18</v>
      </c>
      <c r="C6" t="s">
        <v>19</v>
      </c>
      <c r="D6" t="str">
        <f>VLOOKUP(B6,Product_Lookup!$A$1:$D$21, 3, 0)</f>
        <v>Clothing</v>
      </c>
      <c r="E6">
        <v>8</v>
      </c>
      <c r="F6" s="2">
        <f>VLOOKUP(B6,Product_Lookup!$A$1:$D$21, 4, 0)</f>
        <v>5500</v>
      </c>
      <c r="G6" s="2">
        <f>E6*F6</f>
        <v>44000</v>
      </c>
      <c r="I6" t="s">
        <v>59</v>
      </c>
      <c r="J6" s="2">
        <f>MAX(G2:G21)</f>
        <v>449500</v>
      </c>
    </row>
    <row r="7" spans="1:10" x14ac:dyDescent="0.3">
      <c r="A7" s="1">
        <v>45679</v>
      </c>
      <c r="B7" t="s">
        <v>20</v>
      </c>
      <c r="C7" t="s">
        <v>21</v>
      </c>
      <c r="D7" t="str">
        <f>VLOOKUP(B7,Product_Lookup!$A$1:$D$21, 3, 0)</f>
        <v>Groceries</v>
      </c>
      <c r="E7">
        <v>50</v>
      </c>
      <c r="F7" s="2">
        <f>VLOOKUP(B7,Product_Lookup!$A$1:$D$21, 4, 0)</f>
        <v>620</v>
      </c>
      <c r="G7" s="2">
        <f t="shared" ref="G7:G21" si="0">E7*F7</f>
        <v>31000</v>
      </c>
      <c r="I7" t="s">
        <v>60</v>
      </c>
      <c r="J7" s="6">
        <f>MIN(G2:G21)</f>
        <v>9750</v>
      </c>
    </row>
    <row r="8" spans="1:10" x14ac:dyDescent="0.3">
      <c r="A8" s="1">
        <v>45685</v>
      </c>
      <c r="B8" t="s">
        <v>22</v>
      </c>
      <c r="C8" t="s">
        <v>23</v>
      </c>
      <c r="D8" t="str">
        <f>VLOOKUP(B8,Product_Lookup!$A$1:$D$21, 3, 0)</f>
        <v>Electronics</v>
      </c>
      <c r="E8">
        <v>10</v>
      </c>
      <c r="F8" s="2">
        <f>VLOOKUP(B8,Product_Lookup!$A$1:$D$21, 4, 0)</f>
        <v>12800</v>
      </c>
      <c r="G8" s="2">
        <f t="shared" si="0"/>
        <v>128000</v>
      </c>
    </row>
    <row r="9" spans="1:10" x14ac:dyDescent="0.3">
      <c r="A9" s="1">
        <v>45691</v>
      </c>
      <c r="B9" t="s">
        <v>24</v>
      </c>
      <c r="C9" t="s">
        <v>25</v>
      </c>
      <c r="D9" t="str">
        <f>VLOOKUP(B9,Product_Lookup!$A$1:$D$21, 3, 0)</f>
        <v>Clothing</v>
      </c>
      <c r="E9">
        <v>15</v>
      </c>
      <c r="F9" s="2">
        <f>VLOOKUP(B9,Product_Lookup!$A$1:$D$21, 4, 0)</f>
        <v>2750</v>
      </c>
      <c r="G9" s="2">
        <f t="shared" si="0"/>
        <v>41250</v>
      </c>
    </row>
    <row r="10" spans="1:10" x14ac:dyDescent="0.3">
      <c r="A10" s="1">
        <v>45695</v>
      </c>
      <c r="B10" t="s">
        <v>26</v>
      </c>
      <c r="C10" t="s">
        <v>27</v>
      </c>
      <c r="D10" t="str">
        <f>VLOOKUP(B10,Product_Lookup!$A$1:$D$21, 3, 0)</f>
        <v>Groceries</v>
      </c>
      <c r="E10">
        <v>40</v>
      </c>
      <c r="F10" s="2">
        <f>VLOOKUP(B10,Product_Lookup!$A$1:$D$21, 4, 0)</f>
        <v>580</v>
      </c>
      <c r="G10" s="2">
        <f t="shared" si="0"/>
        <v>23200</v>
      </c>
    </row>
    <row r="11" spans="1:10" x14ac:dyDescent="0.3">
      <c r="A11" s="1">
        <v>45699</v>
      </c>
      <c r="B11" t="s">
        <v>28</v>
      </c>
      <c r="C11" t="s">
        <v>29</v>
      </c>
      <c r="D11" t="str">
        <f>VLOOKUP(B11,Product_Lookup!$A$1:$D$21, 3, 0)</f>
        <v>Electronics</v>
      </c>
      <c r="E11">
        <v>7</v>
      </c>
      <c r="F11" s="2">
        <f>VLOOKUP(B11,Product_Lookup!$A$1:$D$21, 4, 0)</f>
        <v>55900</v>
      </c>
      <c r="G11" s="2">
        <f t="shared" si="0"/>
        <v>391300</v>
      </c>
    </row>
    <row r="12" spans="1:10" x14ac:dyDescent="0.3">
      <c r="A12" s="1">
        <v>45702</v>
      </c>
      <c r="B12" t="s">
        <v>30</v>
      </c>
      <c r="C12" t="s">
        <v>31</v>
      </c>
      <c r="D12" t="str">
        <f>VLOOKUP(B12,Product_Lookup!$A$1:$D$21, 3, 0)</f>
        <v>Groceries</v>
      </c>
      <c r="E12">
        <v>25</v>
      </c>
      <c r="F12" s="2">
        <f>VLOOKUP(B12,Product_Lookup!$A$1:$D$21, 4, 0)</f>
        <v>390</v>
      </c>
      <c r="G12" s="2">
        <f t="shared" si="0"/>
        <v>9750</v>
      </c>
    </row>
    <row r="13" spans="1:10" x14ac:dyDescent="0.3">
      <c r="A13" s="1">
        <v>45706</v>
      </c>
      <c r="B13" t="s">
        <v>32</v>
      </c>
      <c r="C13" t="s">
        <v>33</v>
      </c>
      <c r="D13" t="str">
        <f>VLOOKUP(B13,Product_Lookup!$A$1:$D$21, 3, 0)</f>
        <v>Clothing</v>
      </c>
      <c r="E13">
        <v>12</v>
      </c>
      <c r="F13" s="2">
        <f>VLOOKUP(B13,Product_Lookup!$A$1:$D$21, 4, 0)</f>
        <v>3200</v>
      </c>
      <c r="G13" s="2">
        <f t="shared" si="0"/>
        <v>38400</v>
      </c>
    </row>
    <row r="14" spans="1:10" x14ac:dyDescent="0.3">
      <c r="A14" s="1">
        <v>45710</v>
      </c>
      <c r="B14" t="s">
        <v>34</v>
      </c>
      <c r="C14" t="s">
        <v>35</v>
      </c>
      <c r="D14" t="str">
        <f>VLOOKUP(B14,Product_Lookup!$A$1:$D$21, 3, 0)</f>
        <v>Electronics</v>
      </c>
      <c r="E14">
        <v>4</v>
      </c>
      <c r="F14" s="2">
        <f>VLOOKUP(B14,Product_Lookup!$A$1:$D$21, 4, 0)</f>
        <v>32500</v>
      </c>
      <c r="G14" s="2">
        <f t="shared" si="0"/>
        <v>130000</v>
      </c>
    </row>
    <row r="15" spans="1:10" x14ac:dyDescent="0.3">
      <c r="A15" s="1">
        <v>45714</v>
      </c>
      <c r="B15" t="s">
        <v>36</v>
      </c>
      <c r="C15" t="s">
        <v>37</v>
      </c>
      <c r="D15" t="str">
        <f>VLOOKUP(B15,Product_Lookup!$A$1:$D$21, 3, 0)</f>
        <v>Groceries</v>
      </c>
      <c r="E15">
        <v>60</v>
      </c>
      <c r="F15" s="2">
        <f>VLOOKUP(B15,Product_Lookup!$A$1:$D$21, 4, 0)</f>
        <v>295</v>
      </c>
      <c r="G15" s="2">
        <f t="shared" si="0"/>
        <v>17700</v>
      </c>
    </row>
    <row r="16" spans="1:10" x14ac:dyDescent="0.3">
      <c r="A16" s="1">
        <v>45720</v>
      </c>
      <c r="B16" t="s">
        <v>38</v>
      </c>
      <c r="C16" t="s">
        <v>39</v>
      </c>
      <c r="D16" t="str">
        <f>VLOOKUP(B16,Product_Lookup!$A$1:$D$21, 3, 0)</f>
        <v>Clothing</v>
      </c>
      <c r="E16">
        <v>18</v>
      </c>
      <c r="F16" s="2">
        <f>VLOOKUP(B16,Product_Lookup!$A$1:$D$21, 4, 0)</f>
        <v>4100</v>
      </c>
      <c r="G16" s="2">
        <f t="shared" si="0"/>
        <v>73800</v>
      </c>
    </row>
    <row r="17" spans="1:7" x14ac:dyDescent="0.3">
      <c r="A17" s="1">
        <v>45724</v>
      </c>
      <c r="B17" t="s">
        <v>40</v>
      </c>
      <c r="C17" t="s">
        <v>41</v>
      </c>
      <c r="D17" t="str">
        <f>VLOOKUP(B17,Product_Lookup!$A$1:$D$21, 3, 0)</f>
        <v>Electronics</v>
      </c>
      <c r="E17">
        <v>2</v>
      </c>
      <c r="F17" s="2">
        <f>VLOOKUP(B17,Product_Lookup!$A$1:$D$21, 4, 0)</f>
        <v>89900</v>
      </c>
      <c r="G17" s="2">
        <f>E17*F17</f>
        <v>179800</v>
      </c>
    </row>
    <row r="18" spans="1:7" x14ac:dyDescent="0.3">
      <c r="A18" s="1">
        <v>45728</v>
      </c>
      <c r="B18" t="s">
        <v>42</v>
      </c>
      <c r="C18" t="s">
        <v>43</v>
      </c>
      <c r="D18" t="str">
        <f>VLOOKUP(B18,Product_Lookup!$A$1:$D$21, 3, 0)</f>
        <v>Groceries</v>
      </c>
      <c r="E18">
        <v>45</v>
      </c>
      <c r="F18" s="2">
        <f>VLOOKUP(B18,Product_Lookup!$A$1:$D$21, 4, 0)</f>
        <v>365</v>
      </c>
      <c r="G18" s="2">
        <f t="shared" si="0"/>
        <v>16425</v>
      </c>
    </row>
    <row r="19" spans="1:7" x14ac:dyDescent="0.3">
      <c r="A19" s="1">
        <v>45733</v>
      </c>
      <c r="B19" t="s">
        <v>44</v>
      </c>
      <c r="C19" t="s">
        <v>45</v>
      </c>
      <c r="D19" t="str">
        <f>VLOOKUP(B19,Product_Lookup!$A$1:$D$21, 3, 0)</f>
        <v>Clothing</v>
      </c>
      <c r="E19">
        <v>22</v>
      </c>
      <c r="F19" s="2">
        <f>VLOOKUP(B19,Product_Lookup!$A$1:$D$21, 4, 0)</f>
        <v>1650</v>
      </c>
      <c r="G19" s="2">
        <f t="shared" si="0"/>
        <v>36300</v>
      </c>
    </row>
    <row r="20" spans="1:7" x14ac:dyDescent="0.3">
      <c r="A20" s="1">
        <v>45737</v>
      </c>
      <c r="B20" t="s">
        <v>46</v>
      </c>
      <c r="C20" t="s">
        <v>47</v>
      </c>
      <c r="D20" t="str">
        <f>VLOOKUP(B20,Product_Lookup!$A$1:$D$21, 3, 0)</f>
        <v>Electronics</v>
      </c>
      <c r="E20">
        <v>6</v>
      </c>
      <c r="F20" s="2">
        <f>VLOOKUP(B20,Product_Lookup!$A$1:$D$21, 4, 0)</f>
        <v>24900</v>
      </c>
      <c r="G20" s="2">
        <f t="shared" si="0"/>
        <v>149400</v>
      </c>
    </row>
    <row r="21" spans="1:7" x14ac:dyDescent="0.3">
      <c r="A21" s="1">
        <v>45744</v>
      </c>
      <c r="B21" t="s">
        <v>48</v>
      </c>
      <c r="C21" t="s">
        <v>49</v>
      </c>
      <c r="D21" t="str">
        <f>VLOOKUP(B21,Product_Lookup!$A$1:$D$21, 3, 0)</f>
        <v>Groceries</v>
      </c>
      <c r="E21">
        <v>35</v>
      </c>
      <c r="F21" s="2">
        <f>VLOOKUP(B21,Product_Lookup!$A$1:$D$21, 4, 0)</f>
        <v>480</v>
      </c>
      <c r="G21" s="2">
        <f t="shared" si="0"/>
        <v>16800</v>
      </c>
    </row>
  </sheetData>
  <conditionalFormatting sqref="G2:G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BBB7-27A5-4052-B420-D7E80244A341}">
  <dimension ref="A1:D21"/>
  <sheetViews>
    <sheetView workbookViewId="0">
      <selection activeCell="J24" sqref="J24"/>
    </sheetView>
  </sheetViews>
  <sheetFormatPr defaultRowHeight="14.4" x14ac:dyDescent="0.3"/>
  <cols>
    <col min="1" max="1" width="9.5546875" bestFit="1" customWidth="1"/>
    <col min="2" max="2" width="28" bestFit="1" customWidth="1"/>
    <col min="3" max="3" width="9.88671875" bestFit="1" customWidth="1"/>
  </cols>
  <sheetData>
    <row r="1" spans="1:4" x14ac:dyDescent="0.3">
      <c r="A1" t="s">
        <v>50</v>
      </c>
      <c r="B1" t="s">
        <v>2</v>
      </c>
      <c r="C1" t="s">
        <v>3</v>
      </c>
      <c r="D1" t="s">
        <v>5</v>
      </c>
    </row>
    <row r="2" spans="1:4" x14ac:dyDescent="0.3">
      <c r="A2" t="s">
        <v>7</v>
      </c>
      <c r="B2" t="s">
        <v>8</v>
      </c>
      <c r="C2" t="s">
        <v>14</v>
      </c>
      <c r="D2">
        <v>89900</v>
      </c>
    </row>
    <row r="3" spans="1:4" x14ac:dyDescent="0.3">
      <c r="A3" t="s">
        <v>12</v>
      </c>
      <c r="B3" t="s">
        <v>13</v>
      </c>
      <c r="C3" t="s">
        <v>14</v>
      </c>
      <c r="D3">
        <v>74500</v>
      </c>
    </row>
    <row r="4" spans="1:4" x14ac:dyDescent="0.3">
      <c r="A4" t="s">
        <v>22</v>
      </c>
      <c r="B4" t="s">
        <v>23</v>
      </c>
      <c r="C4" t="s">
        <v>14</v>
      </c>
      <c r="D4">
        <v>12800</v>
      </c>
    </row>
    <row r="5" spans="1:4" x14ac:dyDescent="0.3">
      <c r="A5" t="s">
        <v>28</v>
      </c>
      <c r="B5" t="s">
        <v>29</v>
      </c>
      <c r="C5" t="s">
        <v>14</v>
      </c>
      <c r="D5">
        <v>55900</v>
      </c>
    </row>
    <row r="6" spans="1:4" x14ac:dyDescent="0.3">
      <c r="A6" t="s">
        <v>34</v>
      </c>
      <c r="B6" t="s">
        <v>35</v>
      </c>
      <c r="C6" t="s">
        <v>14</v>
      </c>
      <c r="D6">
        <v>32500</v>
      </c>
    </row>
    <row r="7" spans="1:4" x14ac:dyDescent="0.3">
      <c r="A7" t="s">
        <v>40</v>
      </c>
      <c r="B7" t="s">
        <v>41</v>
      </c>
      <c r="C7" t="s">
        <v>14</v>
      </c>
      <c r="D7">
        <v>89900</v>
      </c>
    </row>
    <row r="8" spans="1:4" x14ac:dyDescent="0.3">
      <c r="A8" t="s">
        <v>46</v>
      </c>
      <c r="B8" t="s">
        <v>51</v>
      </c>
      <c r="C8" t="s">
        <v>14</v>
      </c>
      <c r="D8">
        <v>24900</v>
      </c>
    </row>
    <row r="9" spans="1:4" x14ac:dyDescent="0.3">
      <c r="A9" t="s">
        <v>9</v>
      </c>
      <c r="B9" t="s">
        <v>52</v>
      </c>
      <c r="C9" t="s">
        <v>11</v>
      </c>
      <c r="D9">
        <v>1850</v>
      </c>
    </row>
    <row r="10" spans="1:4" x14ac:dyDescent="0.3">
      <c r="A10" t="s">
        <v>18</v>
      </c>
      <c r="B10" t="s">
        <v>19</v>
      </c>
      <c r="C10" t="s">
        <v>11</v>
      </c>
      <c r="D10">
        <v>5500</v>
      </c>
    </row>
    <row r="11" spans="1:4" x14ac:dyDescent="0.3">
      <c r="A11" t="s">
        <v>24</v>
      </c>
      <c r="B11" t="s">
        <v>25</v>
      </c>
      <c r="C11" t="s">
        <v>11</v>
      </c>
      <c r="D11">
        <v>2750</v>
      </c>
    </row>
    <row r="12" spans="1:4" x14ac:dyDescent="0.3">
      <c r="A12" t="s">
        <v>32</v>
      </c>
      <c r="B12" t="s">
        <v>33</v>
      </c>
      <c r="C12" t="s">
        <v>11</v>
      </c>
      <c r="D12">
        <v>3200</v>
      </c>
    </row>
    <row r="13" spans="1:4" x14ac:dyDescent="0.3">
      <c r="A13" t="s">
        <v>38</v>
      </c>
      <c r="B13" t="s">
        <v>53</v>
      </c>
      <c r="C13" t="s">
        <v>11</v>
      </c>
      <c r="D13">
        <v>4100</v>
      </c>
    </row>
    <row r="14" spans="1:4" x14ac:dyDescent="0.3">
      <c r="A14" t="s">
        <v>44</v>
      </c>
      <c r="B14" t="s">
        <v>45</v>
      </c>
      <c r="C14" t="s">
        <v>11</v>
      </c>
      <c r="D14">
        <v>1650</v>
      </c>
    </row>
    <row r="15" spans="1:4" x14ac:dyDescent="0.3">
      <c r="A15" t="s">
        <v>15</v>
      </c>
      <c r="B15" t="s">
        <v>54</v>
      </c>
      <c r="C15" t="s">
        <v>17</v>
      </c>
      <c r="D15">
        <v>995</v>
      </c>
    </row>
    <row r="16" spans="1:4" x14ac:dyDescent="0.3">
      <c r="A16" t="s">
        <v>20</v>
      </c>
      <c r="B16" t="s">
        <v>21</v>
      </c>
      <c r="C16" t="s">
        <v>17</v>
      </c>
      <c r="D16">
        <v>620</v>
      </c>
    </row>
    <row r="17" spans="1:4" x14ac:dyDescent="0.3">
      <c r="A17" t="s">
        <v>26</v>
      </c>
      <c r="B17" t="s">
        <v>27</v>
      </c>
      <c r="C17" t="s">
        <v>17</v>
      </c>
      <c r="D17">
        <v>580</v>
      </c>
    </row>
    <row r="18" spans="1:4" x14ac:dyDescent="0.3">
      <c r="A18" t="s">
        <v>30</v>
      </c>
      <c r="B18" t="s">
        <v>31</v>
      </c>
      <c r="C18" t="s">
        <v>17</v>
      </c>
      <c r="D18">
        <v>390</v>
      </c>
    </row>
    <row r="19" spans="1:4" x14ac:dyDescent="0.3">
      <c r="A19" t="s">
        <v>36</v>
      </c>
      <c r="B19" t="s">
        <v>37</v>
      </c>
      <c r="C19" t="s">
        <v>17</v>
      </c>
      <c r="D19">
        <v>295</v>
      </c>
    </row>
    <row r="20" spans="1:4" x14ac:dyDescent="0.3">
      <c r="A20" t="s">
        <v>42</v>
      </c>
      <c r="B20" t="s">
        <v>43</v>
      </c>
      <c r="C20" t="s">
        <v>17</v>
      </c>
      <c r="D20">
        <v>365</v>
      </c>
    </row>
    <row r="21" spans="1:4" x14ac:dyDescent="0.3">
      <c r="A21" t="s">
        <v>48</v>
      </c>
      <c r="B21" t="s">
        <v>49</v>
      </c>
      <c r="C21" t="s">
        <v>17</v>
      </c>
      <c r="D21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7F63-D1EA-45CC-A98F-965E58EA3383}">
  <dimension ref="B2:H30"/>
  <sheetViews>
    <sheetView tabSelected="1" topLeftCell="A6" zoomScale="97" workbookViewId="0">
      <selection activeCell="F26" sqref="F26"/>
    </sheetView>
  </sheetViews>
  <sheetFormatPr defaultRowHeight="14.4" x14ac:dyDescent="0.3"/>
  <cols>
    <col min="2" max="2" width="10.21875" bestFit="1" customWidth="1"/>
    <col min="3" max="3" width="10.109375" bestFit="1" customWidth="1"/>
    <col min="4" max="4" width="12.5546875" bestFit="1" customWidth="1"/>
    <col min="5" max="5" width="10.21875" bestFit="1" customWidth="1"/>
    <col min="6" max="6" width="11.44140625" bestFit="1" customWidth="1"/>
    <col min="7" max="7" width="9" bestFit="1" customWidth="1"/>
    <col min="8" max="8" width="11.109375" bestFit="1" customWidth="1"/>
  </cols>
  <sheetData>
    <row r="2" spans="2:8" ht="21" x14ac:dyDescent="0.4">
      <c r="B2" s="10" t="s">
        <v>65</v>
      </c>
      <c r="C2" s="10"/>
      <c r="D2" s="10"/>
      <c r="E2" s="10"/>
      <c r="F2" s="10"/>
      <c r="G2" s="10"/>
      <c r="H2" s="10"/>
    </row>
    <row r="4" spans="2:8" x14ac:dyDescent="0.3">
      <c r="B4" s="11" t="s">
        <v>6</v>
      </c>
      <c r="D4" s="11" t="s">
        <v>66</v>
      </c>
      <c r="F4" s="11" t="s">
        <v>67</v>
      </c>
      <c r="H4" s="11" t="s">
        <v>68</v>
      </c>
    </row>
    <row r="5" spans="2:8" x14ac:dyDescent="0.3">
      <c r="B5" s="12">
        <f>Q1_Sales_Data!J1</f>
        <v>2066975</v>
      </c>
      <c r="D5" s="11" t="str">
        <f>"Electronics"</f>
        <v>Electronics</v>
      </c>
      <c r="F5" s="12">
        <f>Q1_Sales_Data!J6</f>
        <v>449500</v>
      </c>
      <c r="H5" s="12">
        <f>Q1_Sales_Data!J7</f>
        <v>9750</v>
      </c>
    </row>
    <row r="27" spans="2:4" x14ac:dyDescent="0.3">
      <c r="B27" s="17" t="s">
        <v>3</v>
      </c>
      <c r="C27" s="4" t="s">
        <v>6</v>
      </c>
      <c r="D27" s="4" t="s">
        <v>69</v>
      </c>
    </row>
    <row r="28" spans="2:4" x14ac:dyDescent="0.3">
      <c r="B28" s="15" t="s">
        <v>14</v>
      </c>
      <c r="C28" s="14">
        <f>Q1_Sales_Data!J2</f>
        <v>1651500</v>
      </c>
      <c r="D28" s="13">
        <f>C28/Q1_Sales_Data!J1</f>
        <v>0.79899369852078517</v>
      </c>
    </row>
    <row r="29" spans="2:4" x14ac:dyDescent="0.3">
      <c r="B29" s="16" t="s">
        <v>11</v>
      </c>
      <c r="C29" s="14">
        <f>Q1_Sales_Data!J3</f>
        <v>270750</v>
      </c>
      <c r="D29" s="13">
        <f>C29/Q1_Sales_Data!J1</f>
        <v>0.13098852187375271</v>
      </c>
    </row>
    <row r="30" spans="2:4" x14ac:dyDescent="0.3">
      <c r="B30" s="16" t="s">
        <v>17</v>
      </c>
      <c r="C30" s="14">
        <f>Q1_Sales_Data!J4</f>
        <v>144725</v>
      </c>
      <c r="D30" s="13">
        <f>C30/Q1_Sales_Data!J1</f>
        <v>7.0017779605462085E-2</v>
      </c>
    </row>
  </sheetData>
  <mergeCells count="1">
    <mergeCell ref="B2:H2"/>
  </mergeCells>
  <conditionalFormatting sqref="C28:D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Q1_Pivot_Analysis</vt:lpstr>
      <vt:lpstr>Q1_Sales_Data</vt:lpstr>
      <vt:lpstr>Product_Lookup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2026-03-06T04:07:50Z</dcterms:created>
  <dcterms:modified xsi:type="dcterms:W3CDTF">2026-03-06T13:49:40Z</dcterms:modified>
</cp:coreProperties>
</file>