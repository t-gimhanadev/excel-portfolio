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Master Program\"/>
    </mc:Choice>
  </mc:AlternateContent>
  <xr:revisionPtr revIDLastSave="0" documentId="13_ncr:1_{922E134E-3912-4557-90A1-4AD82064C37A}" xr6:coauthVersionLast="47" xr6:coauthVersionMax="47" xr10:uidLastSave="{00000000-0000-0000-0000-000000000000}"/>
  <bookViews>
    <workbookView xWindow="-108" yWindow="-108" windowWidth="23256" windowHeight="12576" xr2:uid="{3EFFA68E-9A0C-4475-9833-89AFC3D6AFFD}"/>
  </bookViews>
  <sheets>
    <sheet name="March_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H1" i="1"/>
  <c r="E5" i="1"/>
  <c r="E6" i="1" s="1"/>
  <c r="E7" i="1" s="1"/>
  <c r="E8" i="1" s="1"/>
  <c r="E9" i="1" s="1"/>
  <c r="E10" i="1" s="1"/>
  <c r="E11" i="1" s="1"/>
  <c r="E4" i="1"/>
  <c r="E3" i="1"/>
  <c r="E2" i="1"/>
</calcChain>
</file>

<file path=xl/sharedStrings.xml><?xml version="1.0" encoding="utf-8"?>
<sst xmlns="http://schemas.openxmlformats.org/spreadsheetml/2006/main" count="32" uniqueCount="24">
  <si>
    <t>Date</t>
  </si>
  <si>
    <t>Description</t>
  </si>
  <si>
    <t>Type</t>
  </si>
  <si>
    <t>Amount</t>
  </si>
  <si>
    <t>Balance</t>
  </si>
  <si>
    <t>Opening Balance</t>
  </si>
  <si>
    <t>Income</t>
  </si>
  <si>
    <t>Client Payment -ABC Ltd</t>
  </si>
  <si>
    <t>Office Rent</t>
  </si>
  <si>
    <t>Expense</t>
  </si>
  <si>
    <t>Staff Salaries</t>
  </si>
  <si>
    <t>Product Sales</t>
  </si>
  <si>
    <t>Electricity Bill</t>
  </si>
  <si>
    <t>15/03/2025</t>
  </si>
  <si>
    <t>Client Payment -XYZ Ltd</t>
  </si>
  <si>
    <t>18/03/2025</t>
  </si>
  <si>
    <t>Internet &amp; Phone</t>
  </si>
  <si>
    <t>22/03/2025</t>
  </si>
  <si>
    <t>Equipment Purchase</t>
  </si>
  <si>
    <t>28/03/2025</t>
  </si>
  <si>
    <t>Consulting Fee</t>
  </si>
  <si>
    <t>Toal Income</t>
  </si>
  <si>
    <t>Total Expense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</si>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</sst>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3917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39179"/>
      <color rgb="FF72B0AB"/>
      <color rgb="FFFFEDD1"/>
      <color rgb="FFFF474D"/>
      <color rgb="FFFE9179"/>
      <color rgb="FFBCDDD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NovaTech - March 2025 Financial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March_Transactions!$G$1:$G$3</c:f>
              <c:strCache>
                <c:ptCount val="3"/>
                <c:pt idx="0">
                  <c:v>Toal Income</c:v>
                </c:pt>
                <c:pt idx="1">
                  <c:v>Total Expense</c:v>
                </c:pt>
                <c:pt idx="2">
                  <c:v>Net Balance</c:v>
                </c:pt>
              </c:strCache>
            </c:strRef>
          </c:cat>
          <c:val>
            <c:numRef>
              <c:f>March_Transactions!$H$1:$H$3</c:f>
              <c:numCache>
                <c:formatCode>General</c:formatCode>
                <c:ptCount val="3"/>
                <c:pt idx="0">
                  <c:v>255000</c:v>
                </c:pt>
                <c:pt idx="1">
                  <c:v>91000</c:v>
                </c:pt>
                <c:pt idx="2">
                  <c:v>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4-45A5-8A33-B33FA7C38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60955215"/>
        <c:axId val="2060956463"/>
      </c:barChart>
      <c:catAx>
        <c:axId val="20609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56463"/>
        <c:crosses val="autoZero"/>
        <c:auto val="1"/>
        <c:lblAlgn val="ctr"/>
        <c:lblOffset val="100"/>
        <c:noMultiLvlLbl val="0"/>
      </c:catAx>
      <c:valAx>
        <c:axId val="20609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5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15240</xdr:rowOff>
    </xdr:from>
    <xdr:to>
      <xdr:col>12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81AAA-5E57-4890-BCFD-11AE1B772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7C9E-1682-4418-A275-23CCD64CBE8D}">
  <dimension ref="A1:H11"/>
  <sheetViews>
    <sheetView tabSelected="1" workbookViewId="0">
      <selection activeCell="O5" sqref="O5"/>
    </sheetView>
  </sheetViews>
  <sheetFormatPr defaultRowHeight="14.4" x14ac:dyDescent="0.3"/>
  <cols>
    <col min="1" max="1" width="13" style="1" customWidth="1"/>
    <col min="2" max="2" width="26.21875" customWidth="1"/>
    <col min="5" max="5" width="11.88671875" customWidth="1"/>
    <col min="7" max="7" width="14.777343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t="s">
        <v>21</v>
      </c>
      <c r="H1">
        <f>SUMIF(C2:C11, "Income", D2:D11)</f>
        <v>255000</v>
      </c>
    </row>
    <row r="2" spans="1:8" x14ac:dyDescent="0.3">
      <c r="A2" s="1">
        <v>45660</v>
      </c>
      <c r="B2" t="s">
        <v>5</v>
      </c>
      <c r="C2" t="s">
        <v>6</v>
      </c>
      <c r="D2">
        <v>50000</v>
      </c>
      <c r="E2">
        <f>D2</f>
        <v>50000</v>
      </c>
      <c r="G2" t="s">
        <v>22</v>
      </c>
      <c r="H2">
        <f>SUMIF(C2:C11, "Expense", D2:D11)</f>
        <v>91000</v>
      </c>
    </row>
    <row r="3" spans="1:8" x14ac:dyDescent="0.3">
      <c r="A3" s="1">
        <v>45719</v>
      </c>
      <c r="B3" t="s">
        <v>7</v>
      </c>
      <c r="C3" t="s">
        <v>6</v>
      </c>
      <c r="D3">
        <v>75000</v>
      </c>
      <c r="E3">
        <f>IF(C3="Income", E2+D3, E2-D3)</f>
        <v>125000</v>
      </c>
      <c r="G3" t="s">
        <v>23</v>
      </c>
      <c r="H3">
        <f>H1-H2</f>
        <v>164000</v>
      </c>
    </row>
    <row r="4" spans="1:8" x14ac:dyDescent="0.3">
      <c r="A4" s="1">
        <v>45780</v>
      </c>
      <c r="B4" t="s">
        <v>8</v>
      </c>
      <c r="C4" t="s">
        <v>9</v>
      </c>
      <c r="D4">
        <v>25000</v>
      </c>
      <c r="E4">
        <f>IF(C4="Income", E3+D4, E3-D4)</f>
        <v>100000</v>
      </c>
    </row>
    <row r="5" spans="1:8" x14ac:dyDescent="0.3">
      <c r="A5" s="1">
        <v>45841</v>
      </c>
      <c r="B5" t="s">
        <v>10</v>
      </c>
      <c r="C5" t="s">
        <v>9</v>
      </c>
      <c r="D5">
        <v>45000</v>
      </c>
      <c r="E5">
        <f t="shared" ref="E5:E11" si="0">IF(C5="Income", E4+D5, E4-D5)</f>
        <v>55000</v>
      </c>
    </row>
    <row r="6" spans="1:8" x14ac:dyDescent="0.3">
      <c r="A6" s="1">
        <v>45933</v>
      </c>
      <c r="B6" t="s">
        <v>11</v>
      </c>
      <c r="C6" t="s">
        <v>6</v>
      </c>
      <c r="D6">
        <v>30000</v>
      </c>
      <c r="E6">
        <f t="shared" si="0"/>
        <v>85000</v>
      </c>
    </row>
    <row r="7" spans="1:8" x14ac:dyDescent="0.3">
      <c r="A7" s="1">
        <v>45994</v>
      </c>
      <c r="B7" t="s">
        <v>12</v>
      </c>
      <c r="C7" t="s">
        <v>9</v>
      </c>
      <c r="D7">
        <v>3500</v>
      </c>
      <c r="E7">
        <f t="shared" si="0"/>
        <v>81500</v>
      </c>
    </row>
    <row r="8" spans="1:8" x14ac:dyDescent="0.3">
      <c r="A8" s="1" t="s">
        <v>13</v>
      </c>
      <c r="B8" t="s">
        <v>14</v>
      </c>
      <c r="C8" t="s">
        <v>6</v>
      </c>
      <c r="D8">
        <v>60000</v>
      </c>
      <c r="E8">
        <f t="shared" si="0"/>
        <v>141500</v>
      </c>
    </row>
    <row r="9" spans="1:8" x14ac:dyDescent="0.3">
      <c r="A9" s="1" t="s">
        <v>15</v>
      </c>
      <c r="B9" t="s">
        <v>16</v>
      </c>
      <c r="C9" t="s">
        <v>9</v>
      </c>
      <c r="D9">
        <v>2500</v>
      </c>
      <c r="E9">
        <f t="shared" si="0"/>
        <v>139000</v>
      </c>
    </row>
    <row r="10" spans="1:8" x14ac:dyDescent="0.3">
      <c r="A10" s="1" t="s">
        <v>17</v>
      </c>
      <c r="B10" t="s">
        <v>18</v>
      </c>
      <c r="C10" t="s">
        <v>9</v>
      </c>
      <c r="D10">
        <v>15000</v>
      </c>
      <c r="E10">
        <f t="shared" si="0"/>
        <v>124000</v>
      </c>
    </row>
    <row r="11" spans="1:8" x14ac:dyDescent="0.3">
      <c r="A11" s="1" t="s">
        <v>19</v>
      </c>
      <c r="B11" t="s">
        <v>20</v>
      </c>
      <c r="C11" t="s">
        <v>6</v>
      </c>
      <c r="D11">
        <v>40000</v>
      </c>
      <c r="E11">
        <f t="shared" si="0"/>
        <v>164000</v>
      </c>
    </row>
  </sheetData>
  <conditionalFormatting sqref="G17">
    <cfRule type="cellIs" priority="7" operator="equal">
      <formula>"Income"</formula>
    </cfRule>
    <cfRule type="cellIs" dxfId="3" priority="6" operator="equal">
      <formula>"Income"</formula>
    </cfRule>
  </conditionalFormatting>
  <conditionalFormatting sqref="A2:E11">
    <cfRule type="expression" dxfId="2" priority="3">
      <formula>$C2="Income"</formula>
    </cfRule>
    <cfRule type="expression" dxfId="1" priority="2">
      <formula>$C2="Expense"</formula>
    </cfRule>
  </conditionalFormatting>
  <conditionalFormatting sqref="A4:E5 A7:E7 A9:E10">
    <cfRule type="expression" dxfId="0" priority="1">
      <formula>$C1048573="Expense"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2026-03-05T06:56:51Z</dcterms:created>
  <dcterms:modified xsi:type="dcterms:W3CDTF">2026-03-05T11:38:56Z</dcterms:modified>
</cp:coreProperties>
</file>